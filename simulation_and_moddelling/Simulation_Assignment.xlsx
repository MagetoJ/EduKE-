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nalysis" sheetId="1" r:id="rId1"/>
    <sheet name="Question 8" sheetId="2" r:id="rId2"/>
  </sheets>
  <calcPr calcId="124519" fullCalcOnLoad="1"/>
</workbook>
</file>

<file path=xl/sharedStrings.xml><?xml version="1.0" encoding="utf-8"?>
<sst xmlns="http://schemas.openxmlformats.org/spreadsheetml/2006/main" count="40" uniqueCount="32">
  <si>
    <t>Scores (Dataset 1)</t>
  </si>
  <si>
    <t>Time (Dataset 2)</t>
  </si>
  <si>
    <t>Traffic (Dataset 3)</t>
  </si>
  <si>
    <t>Mean</t>
  </si>
  <si>
    <t>Std Dev</t>
  </si>
  <si>
    <t>Skewness</t>
  </si>
  <si>
    <t>Kurtosis</t>
  </si>
  <si>
    <t>Bins (Scores (Dataset 1))</t>
  </si>
  <si>
    <t>Frequency</t>
  </si>
  <si>
    <t>55.0</t>
  </si>
  <si>
    <t>62.4</t>
  </si>
  <si>
    <t>69.8</t>
  </si>
  <si>
    <t>77.2</t>
  </si>
  <si>
    <t>84.6</t>
  </si>
  <si>
    <t>Bins (Time (Dataset 2))</t>
  </si>
  <si>
    <t>5.0</t>
  </si>
  <si>
    <t>19.0</t>
  </si>
  <si>
    <t>33.0</t>
  </si>
  <si>
    <t>47.0</t>
  </si>
  <si>
    <t>61.0</t>
  </si>
  <si>
    <t>Bins (Traffic (Dataset 3))</t>
  </si>
  <si>
    <t>12.0</t>
  </si>
  <si>
    <t>22.6</t>
  </si>
  <si>
    <t>33.2</t>
  </si>
  <si>
    <t>43.8</t>
  </si>
  <si>
    <t>54.4</t>
  </si>
  <si>
    <t>Time with Extreme Values (Q8)</t>
  </si>
  <si>
    <t>Bins (Extreme)</t>
  </si>
  <si>
    <t>44.0</t>
  </si>
  <si>
    <t>83.0</t>
  </si>
  <si>
    <t>122.0</t>
  </si>
  <si>
    <t>161.0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</si>
</sst>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Histogram: Scores (Dataset 1)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Freq: Scores (Dataset 1)</c:v>
          </c:tx>
          <c:cat>
            <c:numRef>
              <c:f>Analysis!$A$32:$A$36</c:f>
              <c:numCache>
                <c:formatCode>General</c:formatCode>
                <c:ptCount val="5"/>
                <c:pt idx="0">
                  <c:v>55.0</c:v>
                </c:pt>
                <c:pt idx="1">
                  <c:v>62.4</c:v>
                </c:pt>
                <c:pt idx="2">
                  <c:v>69.8</c:v>
                </c:pt>
                <c:pt idx="3">
                  <c:v>77.2</c:v>
                </c:pt>
                <c:pt idx="4">
                  <c:v>84.6</c:v>
                </c:pt>
              </c:numCache>
            </c:numRef>
          </c:cat>
          <c:val>
            <c:numRef>
              <c:f>Analysis!$B$32:$B$36</c:f>
              <c:numCache>
                <c:formatCode>General</c:formatCode>
                <c:ptCount val="5"/>
                <c:pt idx="0">
                  <c:v>3</c:v>
                </c:pt>
                <c:pt idx="1">
                  <c:v>3</c:v>
                </c:pt>
                <c:pt idx="2">
                  <c:v>5</c:v>
                </c:pt>
                <c:pt idx="3">
                  <c:v>4</c:v>
                </c:pt>
                <c:pt idx="4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Histogram: Time (Dataset 2)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Freq: Time (Dataset 2)</c:v>
          </c:tx>
          <c:cat>
            <c:numRef>
              <c:f>Analysis!$A$42:$A$46</c:f>
              <c:numCache>
                <c:formatCode>General</c:formatCode>
                <c:ptCount val="5"/>
                <c:pt idx="0">
                  <c:v>5.0</c:v>
                </c:pt>
                <c:pt idx="1">
                  <c:v>19.0</c:v>
                </c:pt>
                <c:pt idx="2">
                  <c:v>33.0</c:v>
                </c:pt>
                <c:pt idx="3">
                  <c:v>47.0</c:v>
                </c:pt>
                <c:pt idx="4">
                  <c:v>61.0</c:v>
                </c:pt>
              </c:numCache>
            </c:numRef>
          </c:cat>
          <c:val>
            <c:numRef>
              <c:f>Analysis!$B$42:$B$46</c:f>
              <c:numCache>
                <c:formatCode>General</c:formatCode>
                <c:ptCount val="5"/>
                <c:pt idx="0">
                  <c:v>15</c:v>
                </c:pt>
                <c:pt idx="1">
                  <c:v>2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numFmt formatCode="General" sourceLinked="1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Histogram: Traffic (Dataset 3)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Freq: Traffic (Dataset 3)</c:v>
          </c:tx>
          <c:cat>
            <c:numRef>
              <c:f>Analysis!$A$52:$A$56</c:f>
              <c:numCache>
                <c:formatCode>General</c:formatCode>
                <c:ptCount val="5"/>
                <c:pt idx="0">
                  <c:v>12.0</c:v>
                </c:pt>
                <c:pt idx="1">
                  <c:v>22.6</c:v>
                </c:pt>
                <c:pt idx="2">
                  <c:v>33.2</c:v>
                </c:pt>
                <c:pt idx="3">
                  <c:v>43.8</c:v>
                </c:pt>
                <c:pt idx="4">
                  <c:v>54.4</c:v>
                </c:pt>
              </c:numCache>
            </c:numRef>
          </c:cat>
          <c:val>
            <c:numRef>
              <c:f>Analysis!$B$52:$B$56</c:f>
              <c:numCache>
                <c:formatCode>General</c:formatCode>
                <c:ptCount val="5"/>
                <c:pt idx="0">
                  <c:v>17</c:v>
                </c:pt>
                <c:pt idx="1">
                  <c:v>1</c:v>
                </c:pt>
                <c:pt idx="2">
                  <c:v>1</c:v>
                </c:pt>
                <c:pt idx="3">
                  <c:v>0</c:v>
                </c:pt>
                <c:pt idx="4">
                  <c:v>1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numFmt formatCode="General" sourceLinked="1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Histogram: Time with Extreme Values (Q8)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Freq: Time with Extreme Values</c:v>
          </c:tx>
          <c:cat>
            <c:numRef>
              <c:f>'Question 8'!$A$37:$A$41</c:f>
              <c:numCache>
                <c:formatCode>General</c:formatCode>
                <c:ptCount val="5"/>
                <c:pt idx="0">
                  <c:v>5.0</c:v>
                </c:pt>
                <c:pt idx="1">
                  <c:v>44.0</c:v>
                </c:pt>
                <c:pt idx="2">
                  <c:v>83.0</c:v>
                </c:pt>
                <c:pt idx="3">
                  <c:v>122.0</c:v>
                </c:pt>
                <c:pt idx="4">
                  <c:v>161.0</c:v>
                </c:pt>
              </c:numCache>
            </c:numRef>
          </c:cat>
          <c:val>
            <c:numRef>
              <c:f>'Question 8'!$B$37:$B$41</c:f>
              <c:numCache>
                <c:formatCode>General</c:formatCode>
                <c:ptCount val="5"/>
                <c:pt idx="0">
                  <c:v>19</c:v>
                </c:pt>
                <c:pt idx="1">
                  <c:v>2</c:v>
                </c:pt>
                <c:pt idx="2">
                  <c:v>0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numFmt formatCode="General" sourceLinked="1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13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16</xdr:row>
      <xdr:rowOff>0</xdr:rowOff>
    </xdr:from>
    <xdr:to>
      <xdr:col>13</xdr:col>
      <xdr:colOff>304800</xdr:colOff>
      <xdr:row>30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31</xdr:row>
      <xdr:rowOff>0</xdr:rowOff>
    </xdr:from>
    <xdr:to>
      <xdr:col>13</xdr:col>
      <xdr:colOff>304800</xdr:colOff>
      <xdr:row>45</xdr:row>
      <xdr:rowOff>76200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56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55</v>
      </c>
      <c r="B2">
        <v>5</v>
      </c>
      <c r="C2">
        <v>12</v>
      </c>
    </row>
    <row r="3" spans="1:3">
      <c r="A3">
        <v>60</v>
      </c>
      <c r="B3">
        <v>6</v>
      </c>
      <c r="C3">
        <v>13</v>
      </c>
    </row>
    <row r="4" spans="1:3">
      <c r="A4">
        <v>62</v>
      </c>
      <c r="B4">
        <v>7</v>
      </c>
      <c r="C4">
        <v>13</v>
      </c>
    </row>
    <row r="5" spans="1:3">
      <c r="A5">
        <v>65</v>
      </c>
      <c r="B5">
        <v>7</v>
      </c>
      <c r="C5">
        <v>14</v>
      </c>
    </row>
    <row r="6" spans="1:3">
      <c r="A6">
        <v>67</v>
      </c>
      <c r="B6">
        <v>8</v>
      </c>
      <c r="C6">
        <v>14</v>
      </c>
    </row>
    <row r="7" spans="1:3">
      <c r="A7">
        <v>68</v>
      </c>
      <c r="B7">
        <v>8</v>
      </c>
      <c r="C7">
        <v>15</v>
      </c>
    </row>
    <row r="8" spans="1:3">
      <c r="A8">
        <v>70</v>
      </c>
      <c r="B8">
        <v>9</v>
      </c>
      <c r="C8">
        <v>15</v>
      </c>
    </row>
    <row r="9" spans="1:3">
      <c r="A9">
        <v>72</v>
      </c>
      <c r="B9">
        <v>9</v>
      </c>
      <c r="C9">
        <v>15</v>
      </c>
    </row>
    <row r="10" spans="1:3">
      <c r="A10">
        <v>73</v>
      </c>
      <c r="B10">
        <v>10</v>
      </c>
      <c r="C10">
        <v>16</v>
      </c>
    </row>
    <row r="11" spans="1:3">
      <c r="A11">
        <v>75</v>
      </c>
      <c r="B11">
        <v>10</v>
      </c>
      <c r="C11">
        <v>16</v>
      </c>
    </row>
    <row r="12" spans="1:3">
      <c r="A12">
        <v>76</v>
      </c>
      <c r="B12">
        <v>11</v>
      </c>
      <c r="C12">
        <v>16</v>
      </c>
    </row>
    <row r="13" spans="1:3">
      <c r="A13">
        <v>78</v>
      </c>
      <c r="B13">
        <v>12</v>
      </c>
      <c r="C13">
        <v>17</v>
      </c>
    </row>
    <row r="14" spans="1:3">
      <c r="A14">
        <v>80</v>
      </c>
      <c r="B14">
        <v>13</v>
      </c>
      <c r="C14">
        <v>17</v>
      </c>
    </row>
    <row r="15" spans="1:3">
      <c r="A15">
        <v>82</v>
      </c>
      <c r="B15">
        <v>15</v>
      </c>
      <c r="C15">
        <v>18</v>
      </c>
    </row>
    <row r="16" spans="1:3">
      <c r="A16">
        <v>83</v>
      </c>
      <c r="B16">
        <v>18</v>
      </c>
      <c r="C16">
        <v>18</v>
      </c>
    </row>
    <row r="17" spans="1:5">
      <c r="A17">
        <v>85</v>
      </c>
      <c r="B17">
        <v>22</v>
      </c>
      <c r="C17">
        <v>19</v>
      </c>
    </row>
    <row r="18" spans="1:5">
      <c r="A18">
        <v>87</v>
      </c>
      <c r="B18">
        <v>28</v>
      </c>
      <c r="C18">
        <v>20</v>
      </c>
    </row>
    <row r="19" spans="1:5">
      <c r="A19">
        <v>88</v>
      </c>
      <c r="B19">
        <v>35</v>
      </c>
      <c r="C19">
        <v>25</v>
      </c>
    </row>
    <row r="20" spans="1:5">
      <c r="A20">
        <v>90</v>
      </c>
      <c r="B20">
        <v>50</v>
      </c>
      <c r="C20">
        <v>40</v>
      </c>
    </row>
    <row r="21" spans="1:5">
      <c r="A21">
        <v>92</v>
      </c>
      <c r="B21">
        <v>75</v>
      </c>
      <c r="C21">
        <v>65</v>
      </c>
    </row>
    <row r="24" spans="1:5">
      <c r="A24">
        <f>AVERAGE(A2:A21)</f>
        <v>0</v>
      </c>
      <c r="B24">
        <f>AVERAGE(B2:B21)</f>
        <v>0</v>
      </c>
      <c r="C24">
        <f>AVERAGE(C2:C21)</f>
        <v>0</v>
      </c>
      <c r="E24" t="s">
        <v>3</v>
      </c>
    </row>
    <row r="25" spans="1:5">
      <c r="A25">
        <f>STDEV.S(A2:A21)</f>
        <v>0</v>
      </c>
      <c r="B25">
        <f>STDEV.S(B2:B21)</f>
        <v>0</v>
      </c>
      <c r="C25">
        <f>STDEV.S(C2:C21)</f>
        <v>0</v>
      </c>
      <c r="E25" t="s">
        <v>4</v>
      </c>
    </row>
    <row r="26" spans="1:5">
      <c r="A26">
        <f>SKEW(A2:A21)</f>
        <v>0</v>
      </c>
      <c r="B26">
        <f>SKEW(B2:B21)</f>
        <v>0</v>
      </c>
      <c r="C26">
        <f>SKEW(C2:C21)</f>
        <v>0</v>
      </c>
      <c r="E26" t="s">
        <v>5</v>
      </c>
    </row>
    <row r="27" spans="1:5">
      <c r="A27">
        <f>KURT(A2:A21)</f>
        <v>0</v>
      </c>
      <c r="B27">
        <f>KURT(B2:B21)</f>
        <v>0</v>
      </c>
      <c r="C27">
        <f>KURT(C2:C21)</f>
        <v>0</v>
      </c>
      <c r="E27" t="s">
        <v>6</v>
      </c>
    </row>
    <row r="31" spans="1:5">
      <c r="A31" t="s">
        <v>7</v>
      </c>
      <c r="B31" t="s">
        <v>8</v>
      </c>
    </row>
    <row r="32" spans="1:5">
      <c r="A32" t="s">
        <v>9</v>
      </c>
      <c r="B32">
        <v>3</v>
      </c>
    </row>
    <row r="33" spans="1:2">
      <c r="A33" t="s">
        <v>10</v>
      </c>
      <c r="B33">
        <v>3</v>
      </c>
    </row>
    <row r="34" spans="1:2">
      <c r="A34" t="s">
        <v>11</v>
      </c>
      <c r="B34">
        <v>5</v>
      </c>
    </row>
    <row r="35" spans="1:2">
      <c r="A35" t="s">
        <v>12</v>
      </c>
      <c r="B35">
        <v>4</v>
      </c>
    </row>
    <row r="36" spans="1:2">
      <c r="A36" t="s">
        <v>13</v>
      </c>
      <c r="B36">
        <v>5</v>
      </c>
    </row>
    <row r="41" spans="1:2">
      <c r="A41" t="s">
        <v>14</v>
      </c>
      <c r="B41" t="s">
        <v>8</v>
      </c>
    </row>
    <row r="42" spans="1:2">
      <c r="A42" t="s">
        <v>15</v>
      </c>
      <c r="B42">
        <v>15</v>
      </c>
    </row>
    <row r="43" spans="1:2">
      <c r="A43" t="s">
        <v>16</v>
      </c>
      <c r="B43">
        <v>2</v>
      </c>
    </row>
    <row r="44" spans="1:2">
      <c r="A44" t="s">
        <v>17</v>
      </c>
      <c r="B44">
        <v>1</v>
      </c>
    </row>
    <row r="45" spans="1:2">
      <c r="A45" t="s">
        <v>18</v>
      </c>
      <c r="B45">
        <v>1</v>
      </c>
    </row>
    <row r="46" spans="1:2">
      <c r="A46" t="s">
        <v>19</v>
      </c>
      <c r="B46">
        <v>1</v>
      </c>
    </row>
    <row r="51" spans="1:2">
      <c r="A51" t="s">
        <v>20</v>
      </c>
      <c r="B51" t="s">
        <v>8</v>
      </c>
    </row>
    <row r="52" spans="1:2">
      <c r="A52" t="s">
        <v>21</v>
      </c>
      <c r="B52">
        <v>17</v>
      </c>
    </row>
    <row r="53" spans="1:2">
      <c r="A53" t="s">
        <v>22</v>
      </c>
      <c r="B53">
        <v>1</v>
      </c>
    </row>
    <row r="54" spans="1:2">
      <c r="A54" t="s">
        <v>23</v>
      </c>
      <c r="B54">
        <v>1</v>
      </c>
    </row>
    <row r="55" spans="1:2">
      <c r="A55" t="s">
        <v>24</v>
      </c>
      <c r="B55">
        <v>0</v>
      </c>
    </row>
    <row r="56" spans="1:2">
      <c r="A56" t="s">
        <v>25</v>
      </c>
      <c r="B56">
        <v>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1"/>
  <sheetViews>
    <sheetView workbookViewId="0"/>
  </sheetViews>
  <sheetFormatPr defaultRowHeight="15"/>
  <sheetData>
    <row r="1" spans="1:1">
      <c r="A1" s="1" t="s">
        <v>26</v>
      </c>
    </row>
    <row r="2" spans="1:1">
      <c r="A2">
        <v>5</v>
      </c>
    </row>
    <row r="3" spans="1:1">
      <c r="A3">
        <v>6</v>
      </c>
    </row>
    <row r="4" spans="1:1">
      <c r="A4">
        <v>7</v>
      </c>
    </row>
    <row r="5" spans="1:1">
      <c r="A5">
        <v>7</v>
      </c>
    </row>
    <row r="6" spans="1:1">
      <c r="A6">
        <v>8</v>
      </c>
    </row>
    <row r="7" spans="1:1">
      <c r="A7">
        <v>8</v>
      </c>
    </row>
    <row r="8" spans="1:1">
      <c r="A8">
        <v>9</v>
      </c>
    </row>
    <row r="9" spans="1:1">
      <c r="A9">
        <v>9</v>
      </c>
    </row>
    <row r="10" spans="1:1">
      <c r="A10">
        <v>10</v>
      </c>
    </row>
    <row r="11" spans="1:1">
      <c r="A11">
        <v>10</v>
      </c>
    </row>
    <row r="12" spans="1:1">
      <c r="A12">
        <v>11</v>
      </c>
    </row>
    <row r="13" spans="1:1">
      <c r="A13">
        <v>12</v>
      </c>
    </row>
    <row r="14" spans="1:1">
      <c r="A14">
        <v>13</v>
      </c>
    </row>
    <row r="15" spans="1:1">
      <c r="A15">
        <v>15</v>
      </c>
    </row>
    <row r="16" spans="1:1">
      <c r="A16">
        <v>18</v>
      </c>
    </row>
    <row r="17" spans="1:3">
      <c r="A17">
        <v>22</v>
      </c>
    </row>
    <row r="18" spans="1:3">
      <c r="A18">
        <v>28</v>
      </c>
    </row>
    <row r="19" spans="1:3">
      <c r="A19">
        <v>35</v>
      </c>
    </row>
    <row r="20" spans="1:3">
      <c r="A20">
        <v>50</v>
      </c>
    </row>
    <row r="21" spans="1:3">
      <c r="A21">
        <v>75</v>
      </c>
    </row>
    <row r="22" spans="1:3">
      <c r="A22">
        <v>10</v>
      </c>
    </row>
    <row r="23" spans="1:3">
      <c r="A23">
        <v>150</v>
      </c>
    </row>
    <row r="24" spans="1:3">
      <c r="A24">
        <v>200</v>
      </c>
    </row>
    <row r="27" spans="1:3">
      <c r="A27">
        <f>AVERAGE(A2:A24)</f>
        <v>0</v>
      </c>
      <c r="C27" t="s">
        <v>3</v>
      </c>
    </row>
    <row r="28" spans="1:3">
      <c r="A28">
        <f>STDEV.S(A2:A24)</f>
        <v>0</v>
      </c>
      <c r="C28" t="s">
        <v>4</v>
      </c>
    </row>
    <row r="29" spans="1:3">
      <c r="A29">
        <f>SKEW(A2:A24)</f>
        <v>0</v>
      </c>
      <c r="C29" t="s">
        <v>5</v>
      </c>
    </row>
    <row r="30" spans="1:3">
      <c r="A30">
        <f>KURT(A2:A24)</f>
        <v>0</v>
      </c>
      <c r="C30" t="s">
        <v>6</v>
      </c>
    </row>
    <row r="36" spans="1:2">
      <c r="A36" t="s">
        <v>27</v>
      </c>
      <c r="B36" t="s">
        <v>8</v>
      </c>
    </row>
    <row r="37" spans="1:2">
      <c r="A37" t="s">
        <v>15</v>
      </c>
      <c r="B37">
        <v>19</v>
      </c>
    </row>
    <row r="38" spans="1:2">
      <c r="A38" t="s">
        <v>28</v>
      </c>
      <c r="B38">
        <v>2</v>
      </c>
    </row>
    <row r="39" spans="1:2">
      <c r="A39" t="s">
        <v>29</v>
      </c>
      <c r="B39">
        <v>0</v>
      </c>
    </row>
    <row r="40" spans="1:2">
      <c r="A40" t="s">
        <v>30</v>
      </c>
      <c r="B40">
        <v>1</v>
      </c>
    </row>
    <row r="41" spans="1:2">
      <c r="A41" t="s">
        <v>31</v>
      </c>
      <c r="B41">
        <v>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Analysis</vt:lpstr>
      <vt:lpstr>Question 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2026-02-09T10:51:36Z</dcterms:created>
  <dcterms:modified xsi:type="dcterms:W3CDTF">2026-02-09T10:51:36Z</dcterms:modified>
</cp:coreProperties>
</file>